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a980ca8774ce1/Desktop/hackthon/"/>
    </mc:Choice>
  </mc:AlternateContent>
  <xr:revisionPtr revIDLastSave="52" documentId="8_{C5ED1C04-D1BA-124A-83C7-DD0B4B21D683}" xr6:coauthVersionLast="47" xr6:coauthVersionMax="47" xr10:uidLastSave="{EED77861-94F9-4B4C-98F3-83874BBFD9D1}"/>
  <bookViews>
    <workbookView xWindow="-108" yWindow="-108" windowWidth="23256" windowHeight="12456" xr2:uid="{7A5B4CDC-8854-4FA2-89AB-5A33D1808E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  <c r="D74" i="1" a="1"/>
  <c r="D50" i="1"/>
  <c r="D50" i="1" a="1"/>
  <c r="D62" i="1"/>
  <c r="D62" i="1" a="1"/>
  <c r="D86" i="1"/>
  <c r="D86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<sst xmlns="http://schemas.openxmlformats.org/spreadsheetml/2006/main" count="188" uniqueCount="7">
  <si>
    <t>Millets</t>
  </si>
  <si>
    <t>RainFall</t>
  </si>
  <si>
    <t>Temp</t>
  </si>
  <si>
    <t>humidity</t>
  </si>
  <si>
    <t>month</t>
  </si>
  <si>
    <t>crop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</si>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</sst>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679B-42B6-47F7-A65C-B7A4C66F2DD2}">
  <dimension ref="A1:F183"/>
  <sheetViews>
    <sheetView tabSelected="1" topLeftCell="A166" workbookViewId="0">
      <selection activeCell="K183" sqref="K183"/>
    </sheetView>
  </sheetViews>
  <sheetFormatPr defaultRowHeight="14.4" x14ac:dyDescent="0.3"/>
  <cols>
    <col min="1" max="1" width="10.664062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1</v>
      </c>
      <c r="E1" t="s">
        <v>2</v>
      </c>
      <c r="F1" t="s">
        <v>3</v>
      </c>
    </row>
    <row r="2" spans="1:6" x14ac:dyDescent="0.3">
      <c r="A2" s="1">
        <v>40179</v>
      </c>
      <c r="B2" t="s">
        <v>0</v>
      </c>
      <c r="C2">
        <v>868.75</v>
      </c>
      <c r="D2">
        <v>4.8</v>
      </c>
      <c r="E2">
        <v>11.95</v>
      </c>
      <c r="F2">
        <v>3.34</v>
      </c>
    </row>
    <row r="3" spans="1:6" x14ac:dyDescent="0.3">
      <c r="A3" s="1">
        <v>40210</v>
      </c>
      <c r="B3" t="s">
        <v>0</v>
      </c>
      <c r="C3">
        <v>833.33</v>
      </c>
      <c r="D3">
        <v>10.199999999999999</v>
      </c>
      <c r="E3">
        <v>16.7</v>
      </c>
      <c r="F3">
        <v>4.1100000000000003</v>
      </c>
    </row>
    <row r="4" spans="1:6" x14ac:dyDescent="0.3">
      <c r="A4" s="1">
        <v>40238</v>
      </c>
      <c r="B4" t="s">
        <v>0</v>
      </c>
      <c r="C4">
        <v>850</v>
      </c>
      <c r="D4">
        <v>0.5</v>
      </c>
      <c r="E4">
        <v>26.3</v>
      </c>
      <c r="F4">
        <v>4.1399999999999997</v>
      </c>
    </row>
    <row r="5" spans="1:6" x14ac:dyDescent="0.3">
      <c r="A5" s="1">
        <v>40330</v>
      </c>
      <c r="B5" t="s">
        <v>0</v>
      </c>
      <c r="C5">
        <v>1100</v>
      </c>
      <c r="D5">
        <v>0.8</v>
      </c>
      <c r="E5">
        <v>33.659999999999997</v>
      </c>
      <c r="F5">
        <v>4.3099999999999996</v>
      </c>
    </row>
    <row r="6" spans="1:6" x14ac:dyDescent="0.3">
      <c r="A6" s="1">
        <v>40360</v>
      </c>
      <c r="B6" t="s">
        <v>0</v>
      </c>
      <c r="C6">
        <v>913.64</v>
      </c>
      <c r="D6">
        <v>5.9</v>
      </c>
      <c r="E6">
        <v>37.61</v>
      </c>
      <c r="F6">
        <v>5.91</v>
      </c>
    </row>
    <row r="7" spans="1:6" x14ac:dyDescent="0.3">
      <c r="A7" s="1">
        <v>40391</v>
      </c>
      <c r="B7" t="s">
        <v>0</v>
      </c>
      <c r="C7">
        <v>579.41</v>
      </c>
      <c r="D7">
        <v>29.1</v>
      </c>
      <c r="E7">
        <v>36.31</v>
      </c>
      <c r="F7">
        <v>10.66</v>
      </c>
    </row>
    <row r="8" spans="1:6" x14ac:dyDescent="0.3">
      <c r="A8" s="1">
        <v>40422</v>
      </c>
      <c r="B8" t="s">
        <v>0</v>
      </c>
      <c r="C8">
        <v>562.5</v>
      </c>
      <c r="D8">
        <v>189.3</v>
      </c>
      <c r="E8">
        <v>31.17</v>
      </c>
      <c r="F8">
        <v>18.86</v>
      </c>
    </row>
    <row r="9" spans="1:6" x14ac:dyDescent="0.3">
      <c r="A9" s="1">
        <v>40452</v>
      </c>
      <c r="B9" t="s">
        <v>0</v>
      </c>
      <c r="C9">
        <v>500</v>
      </c>
      <c r="D9">
        <v>198.5</v>
      </c>
      <c r="E9">
        <v>28.72</v>
      </c>
      <c r="F9">
        <v>20.46</v>
      </c>
    </row>
    <row r="10" spans="1:6" x14ac:dyDescent="0.3">
      <c r="A10" s="1">
        <v>40483</v>
      </c>
      <c r="B10" t="s">
        <v>0</v>
      </c>
      <c r="C10">
        <v>1000</v>
      </c>
      <c r="D10">
        <v>183.9</v>
      </c>
      <c r="E10">
        <v>25.87</v>
      </c>
      <c r="F10">
        <v>18.02</v>
      </c>
    </row>
    <row r="11" spans="1:6" x14ac:dyDescent="0.3">
      <c r="A11" s="1">
        <v>40575</v>
      </c>
      <c r="B11" t="s">
        <v>0</v>
      </c>
      <c r="C11">
        <v>1200</v>
      </c>
      <c r="D11">
        <v>1.1000000000000001</v>
      </c>
      <c r="E11">
        <v>22.68</v>
      </c>
      <c r="F11">
        <v>12.67</v>
      </c>
    </row>
    <row r="12" spans="1:6" x14ac:dyDescent="0.3">
      <c r="A12" s="1">
        <v>40603</v>
      </c>
      <c r="B12" t="s">
        <v>0</v>
      </c>
      <c r="C12">
        <v>1125</v>
      </c>
      <c r="D12">
        <v>3.5</v>
      </c>
      <c r="E12">
        <v>17.47</v>
      </c>
      <c r="F12">
        <v>7.84</v>
      </c>
    </row>
    <row r="13" spans="1:6" x14ac:dyDescent="0.3">
      <c r="A13" s="1">
        <v>40725</v>
      </c>
      <c r="B13" t="s">
        <v>0</v>
      </c>
      <c r="C13">
        <v>787.5</v>
      </c>
      <c r="D13">
        <v>12.8</v>
      </c>
      <c r="E13">
        <v>11.2</v>
      </c>
      <c r="F13">
        <v>4.7</v>
      </c>
    </row>
    <row r="14" spans="1:6" x14ac:dyDescent="0.3">
      <c r="A14" s="1">
        <v>40756</v>
      </c>
      <c r="B14" t="s">
        <v>0</v>
      </c>
      <c r="C14">
        <v>447.06</v>
      </c>
      <c r="D14">
        <v>0.7</v>
      </c>
      <c r="E14">
        <v>9.9499999999999993</v>
      </c>
      <c r="F14">
        <v>3.74</v>
      </c>
    </row>
    <row r="15" spans="1:6" x14ac:dyDescent="0.3">
      <c r="A15" s="1">
        <v>40787</v>
      </c>
      <c r="B15" t="s">
        <v>0</v>
      </c>
      <c r="C15">
        <v>475</v>
      </c>
      <c r="D15">
        <v>26.7</v>
      </c>
      <c r="E15">
        <v>15.42</v>
      </c>
      <c r="F15">
        <v>5.66</v>
      </c>
    </row>
    <row r="16" spans="1:6" x14ac:dyDescent="0.3">
      <c r="A16" s="1">
        <v>40817</v>
      </c>
      <c r="B16" t="s">
        <v>0</v>
      </c>
      <c r="C16">
        <v>566.66999999999996</v>
      </c>
      <c r="D16">
        <v>6.9</v>
      </c>
      <c r="E16">
        <v>21.79</v>
      </c>
      <c r="F16">
        <v>5.23</v>
      </c>
    </row>
    <row r="17" spans="1:6" x14ac:dyDescent="0.3">
      <c r="A17" s="1">
        <v>40848</v>
      </c>
      <c r="B17" t="s">
        <v>0</v>
      </c>
      <c r="C17">
        <v>1850</v>
      </c>
      <c r="D17">
        <v>8.9</v>
      </c>
      <c r="E17">
        <v>28.62</v>
      </c>
      <c r="F17">
        <v>6.29</v>
      </c>
    </row>
    <row r="18" spans="1:6" x14ac:dyDescent="0.3">
      <c r="A18" s="1">
        <v>40940</v>
      </c>
      <c r="B18" t="s">
        <v>0</v>
      </c>
      <c r="C18">
        <v>1500</v>
      </c>
      <c r="D18">
        <v>28.7</v>
      </c>
      <c r="E18">
        <v>36.65</v>
      </c>
      <c r="F18">
        <v>9.41</v>
      </c>
    </row>
    <row r="19" spans="1:6" x14ac:dyDescent="0.3">
      <c r="A19" s="1">
        <v>40969</v>
      </c>
      <c r="B19" t="s">
        <v>0</v>
      </c>
      <c r="C19">
        <v>1000</v>
      </c>
      <c r="D19">
        <v>94.4</v>
      </c>
      <c r="E19">
        <v>34.74</v>
      </c>
      <c r="F19">
        <v>14.76</v>
      </c>
    </row>
    <row r="20" spans="1:6" x14ac:dyDescent="0.3">
      <c r="A20" s="1">
        <v>41000</v>
      </c>
      <c r="B20" t="s">
        <v>0</v>
      </c>
      <c r="C20">
        <v>5100</v>
      </c>
      <c r="D20">
        <v>85</v>
      </c>
      <c r="E20">
        <v>30.85</v>
      </c>
      <c r="F20">
        <v>18.16</v>
      </c>
    </row>
    <row r="21" spans="1:6" x14ac:dyDescent="0.3">
      <c r="A21" s="1">
        <v>41030</v>
      </c>
      <c r="B21" t="s">
        <v>0</v>
      </c>
      <c r="C21">
        <v>1200</v>
      </c>
      <c r="D21">
        <v>127.3</v>
      </c>
      <c r="E21">
        <v>28.69</v>
      </c>
      <c r="F21">
        <v>19.309999999999999</v>
      </c>
    </row>
    <row r="22" spans="1:6" x14ac:dyDescent="0.3">
      <c r="A22" s="1">
        <v>41061</v>
      </c>
      <c r="B22" t="s">
        <v>0</v>
      </c>
      <c r="C22">
        <v>1500</v>
      </c>
      <c r="D22">
        <v>133.1</v>
      </c>
      <c r="E22">
        <v>26.45</v>
      </c>
      <c r="F22">
        <v>18.46</v>
      </c>
    </row>
    <row r="23" spans="1:6" x14ac:dyDescent="0.3">
      <c r="A23" s="1">
        <v>41091</v>
      </c>
      <c r="B23" t="s">
        <v>0</v>
      </c>
      <c r="C23">
        <v>808.33</v>
      </c>
      <c r="D23">
        <v>0</v>
      </c>
      <c r="E23">
        <v>22.12</v>
      </c>
      <c r="F23">
        <v>10.210000000000001</v>
      </c>
    </row>
    <row r="24" spans="1:6" x14ac:dyDescent="0.3">
      <c r="A24" s="1">
        <v>41122</v>
      </c>
      <c r="B24" t="s">
        <v>0</v>
      </c>
      <c r="C24">
        <v>700</v>
      </c>
      <c r="D24">
        <v>0</v>
      </c>
      <c r="E24">
        <v>17.82</v>
      </c>
      <c r="F24">
        <v>7.4</v>
      </c>
    </row>
    <row r="25" spans="1:6" x14ac:dyDescent="0.3">
      <c r="A25" s="1">
        <v>41153</v>
      </c>
      <c r="B25" t="s">
        <v>0</v>
      </c>
      <c r="C25">
        <v>1075</v>
      </c>
      <c r="D25">
        <v>0.4</v>
      </c>
      <c r="E25">
        <v>12.14</v>
      </c>
      <c r="F25">
        <v>3.89</v>
      </c>
    </row>
    <row r="26" spans="1:6" x14ac:dyDescent="0.3">
      <c r="A26" s="1">
        <v>41183</v>
      </c>
      <c r="B26" t="s">
        <v>0</v>
      </c>
      <c r="C26">
        <v>733.33</v>
      </c>
      <c r="D26">
        <v>8.1999999999999993</v>
      </c>
      <c r="E26">
        <v>10.95</v>
      </c>
      <c r="F26">
        <v>3.64</v>
      </c>
    </row>
    <row r="27" spans="1:6" x14ac:dyDescent="0.3">
      <c r="A27" s="1">
        <v>41214</v>
      </c>
      <c r="B27" t="s">
        <v>0</v>
      </c>
      <c r="C27">
        <v>1150</v>
      </c>
      <c r="D27">
        <v>0.2</v>
      </c>
      <c r="E27">
        <v>14.76</v>
      </c>
      <c r="F27">
        <v>2.88</v>
      </c>
    </row>
    <row r="28" spans="1:6" x14ac:dyDescent="0.3">
      <c r="A28" s="1">
        <v>41306</v>
      </c>
      <c r="B28" t="s">
        <v>0</v>
      </c>
      <c r="C28">
        <v>1342.86</v>
      </c>
      <c r="D28">
        <v>0.1</v>
      </c>
      <c r="E28">
        <v>22.1</v>
      </c>
      <c r="F28">
        <v>3.19</v>
      </c>
    </row>
    <row r="29" spans="1:6" x14ac:dyDescent="0.3">
      <c r="A29" s="1">
        <v>41334</v>
      </c>
      <c r="B29" t="s">
        <v>0</v>
      </c>
      <c r="C29">
        <v>2716.67</v>
      </c>
      <c r="D29">
        <v>11.8</v>
      </c>
      <c r="E29">
        <v>30.31</v>
      </c>
      <c r="F29">
        <v>7.11</v>
      </c>
    </row>
    <row r="30" spans="1:6" x14ac:dyDescent="0.3">
      <c r="A30" s="1">
        <v>41365</v>
      </c>
      <c r="B30" t="s">
        <v>0</v>
      </c>
      <c r="C30">
        <v>2250</v>
      </c>
      <c r="D30">
        <v>3.8</v>
      </c>
      <c r="E30">
        <v>35.93</v>
      </c>
      <c r="F30">
        <v>6.5</v>
      </c>
    </row>
    <row r="31" spans="1:6" x14ac:dyDescent="0.3">
      <c r="A31" s="1">
        <v>41395</v>
      </c>
      <c r="B31" t="s">
        <v>0</v>
      </c>
      <c r="C31">
        <v>1153.33</v>
      </c>
      <c r="D31">
        <v>5.3</v>
      </c>
      <c r="E31">
        <v>39.630000000000003</v>
      </c>
      <c r="F31">
        <v>9.7100000000000009</v>
      </c>
    </row>
    <row r="32" spans="1:6" x14ac:dyDescent="0.3">
      <c r="A32" s="1">
        <v>41426</v>
      </c>
      <c r="B32" t="s">
        <v>0</v>
      </c>
      <c r="C32">
        <v>1125</v>
      </c>
      <c r="D32">
        <v>68.099999999999994</v>
      </c>
      <c r="E32">
        <v>34.76</v>
      </c>
      <c r="F32">
        <v>15.98</v>
      </c>
    </row>
    <row r="33" spans="1:6" x14ac:dyDescent="0.3">
      <c r="A33" s="1">
        <v>41456</v>
      </c>
      <c r="B33" t="s">
        <v>0</v>
      </c>
      <c r="C33">
        <v>1365.22</v>
      </c>
      <c r="D33">
        <v>196.6</v>
      </c>
      <c r="E33">
        <v>30.23</v>
      </c>
      <c r="F33">
        <v>18.239999999999998</v>
      </c>
    </row>
    <row r="34" spans="1:6" x14ac:dyDescent="0.3">
      <c r="A34" s="1">
        <v>41487</v>
      </c>
      <c r="B34" t="s">
        <v>0</v>
      </c>
      <c r="C34">
        <v>1423.81</v>
      </c>
      <c r="D34">
        <v>90.7</v>
      </c>
      <c r="E34">
        <v>26.73</v>
      </c>
      <c r="F34">
        <v>16.52</v>
      </c>
    </row>
    <row r="35" spans="1:6" x14ac:dyDescent="0.3">
      <c r="A35" s="1">
        <v>41518</v>
      </c>
      <c r="B35" t="s">
        <v>0</v>
      </c>
      <c r="C35">
        <v>1446.15</v>
      </c>
      <c r="D35">
        <v>2.4</v>
      </c>
      <c r="E35">
        <v>22.96</v>
      </c>
      <c r="F35">
        <v>8.1199999999999992</v>
      </c>
    </row>
    <row r="36" spans="1:6" x14ac:dyDescent="0.3">
      <c r="A36" s="1">
        <v>41548</v>
      </c>
      <c r="B36" t="s">
        <v>0</v>
      </c>
      <c r="C36">
        <v>2116.67</v>
      </c>
      <c r="D36">
        <v>0.6</v>
      </c>
      <c r="E36">
        <v>17.559999999999999</v>
      </c>
      <c r="F36">
        <v>4.68</v>
      </c>
    </row>
    <row r="37" spans="1:6" x14ac:dyDescent="0.3">
      <c r="A37" s="1">
        <v>41579</v>
      </c>
      <c r="B37" t="s">
        <v>0</v>
      </c>
      <c r="C37">
        <v>1337.5</v>
      </c>
      <c r="D37">
        <v>3.5</v>
      </c>
      <c r="E37">
        <v>13.42</v>
      </c>
      <c r="F37">
        <v>3.56</v>
      </c>
    </row>
    <row r="38" spans="1:6" x14ac:dyDescent="0.3">
      <c r="A38" s="1">
        <v>41609</v>
      </c>
      <c r="B38" t="s">
        <v>0</v>
      </c>
      <c r="C38">
        <v>950</v>
      </c>
      <c r="D38">
        <v>21.1</v>
      </c>
      <c r="E38">
        <v>10.93</v>
      </c>
      <c r="F38">
        <v>3.39</v>
      </c>
    </row>
    <row r="39" spans="1:6" x14ac:dyDescent="0.3">
      <c r="A39" s="1">
        <v>41640</v>
      </c>
      <c r="B39" t="s">
        <v>0</v>
      </c>
      <c r="C39">
        <v>1000</v>
      </c>
      <c r="D39">
        <v>52.2</v>
      </c>
      <c r="E39">
        <v>14.89</v>
      </c>
      <c r="F39">
        <v>5.97</v>
      </c>
    </row>
    <row r="40" spans="1:6" x14ac:dyDescent="0.3">
      <c r="A40" s="1">
        <v>41699</v>
      </c>
      <c r="B40" t="s">
        <v>0</v>
      </c>
      <c r="C40">
        <v>1885.71</v>
      </c>
      <c r="D40">
        <v>5.3</v>
      </c>
      <c r="E40">
        <v>21.69</v>
      </c>
      <c r="F40">
        <v>6.37</v>
      </c>
    </row>
    <row r="41" spans="1:6" x14ac:dyDescent="0.3">
      <c r="A41" s="1">
        <v>41730</v>
      </c>
      <c r="B41" t="s">
        <v>0</v>
      </c>
      <c r="C41">
        <v>1960</v>
      </c>
      <c r="D41">
        <v>3.3</v>
      </c>
      <c r="E41">
        <v>29.5</v>
      </c>
      <c r="F41">
        <v>6.3</v>
      </c>
    </row>
    <row r="42" spans="1:6" x14ac:dyDescent="0.3">
      <c r="A42" s="1">
        <v>41760</v>
      </c>
      <c r="B42" t="s">
        <v>0</v>
      </c>
      <c r="C42">
        <v>1665.38</v>
      </c>
      <c r="D42">
        <v>1.4</v>
      </c>
      <c r="E42">
        <v>37.03</v>
      </c>
      <c r="F42">
        <v>5.44</v>
      </c>
    </row>
    <row r="43" spans="1:6" x14ac:dyDescent="0.3">
      <c r="A43" s="1">
        <v>41791</v>
      </c>
      <c r="B43" t="s">
        <v>0</v>
      </c>
      <c r="C43">
        <v>1200</v>
      </c>
      <c r="D43">
        <v>62.1</v>
      </c>
      <c r="E43">
        <v>34.86</v>
      </c>
      <c r="F43">
        <v>14.04</v>
      </c>
    </row>
    <row r="44" spans="1:6" x14ac:dyDescent="0.3">
      <c r="A44" s="1">
        <v>41821</v>
      </c>
      <c r="B44" t="s">
        <v>0</v>
      </c>
      <c r="C44">
        <v>966.67</v>
      </c>
      <c r="D44">
        <v>96.5</v>
      </c>
      <c r="E44">
        <v>30.56</v>
      </c>
      <c r="F44">
        <v>19.2</v>
      </c>
    </row>
    <row r="45" spans="1:6" x14ac:dyDescent="0.3">
      <c r="A45" s="1">
        <v>41852</v>
      </c>
      <c r="B45" t="s">
        <v>0</v>
      </c>
      <c r="C45">
        <v>981.25</v>
      </c>
      <c r="D45">
        <v>161.9</v>
      </c>
      <c r="E45">
        <v>28.02</v>
      </c>
      <c r="F45">
        <v>19.82</v>
      </c>
    </row>
    <row r="46" spans="1:6" x14ac:dyDescent="0.3">
      <c r="A46" s="1">
        <v>41883</v>
      </c>
      <c r="B46" t="s">
        <v>0</v>
      </c>
      <c r="C46">
        <v>1018.44</v>
      </c>
      <c r="D46">
        <v>42.8</v>
      </c>
      <c r="E46">
        <v>26.74</v>
      </c>
      <c r="F46">
        <v>15.79</v>
      </c>
    </row>
    <row r="47" spans="1:6" x14ac:dyDescent="0.3">
      <c r="A47" s="1">
        <v>41913</v>
      </c>
      <c r="B47" t="s">
        <v>0</v>
      </c>
      <c r="C47">
        <v>1448.08</v>
      </c>
      <c r="D47">
        <v>10.9</v>
      </c>
      <c r="E47">
        <v>23.73</v>
      </c>
      <c r="F47">
        <v>12.15</v>
      </c>
    </row>
    <row r="48" spans="1:6" x14ac:dyDescent="0.3">
      <c r="A48" s="1">
        <v>41944</v>
      </c>
      <c r="B48" t="s">
        <v>0</v>
      </c>
      <c r="C48">
        <v>1479.81</v>
      </c>
      <c r="D48">
        <v>1.7</v>
      </c>
      <c r="E48">
        <v>16.5</v>
      </c>
      <c r="F48">
        <v>5.81</v>
      </c>
    </row>
    <row r="49" spans="1:6" x14ac:dyDescent="0.3">
      <c r="A49" s="1">
        <v>41974</v>
      </c>
      <c r="B49" t="s">
        <v>0</v>
      </c>
      <c r="C49">
        <v>1366.54</v>
      </c>
      <c r="D49">
        <v>2.1</v>
      </c>
      <c r="E49">
        <v>12.63</v>
      </c>
      <c r="F49">
        <v>4.1399999999999997</v>
      </c>
    </row>
    <row r="50" spans="1:6" x14ac:dyDescent="0.3">
      <c r="A50" s="1">
        <v>42005</v>
      </c>
      <c r="B50" t="s">
        <v>0</v>
      </c>
      <c r="C50">
        <v>1600.29</v>
      </c>
      <c r="D50" cm="1">
        <f t="array" aca="1" ref="D50" ca="1">D50:PRO61</f>
        <v>0</v>
      </c>
      <c r="E50">
        <v>12.23</v>
      </c>
      <c r="F50">
        <v>4.47</v>
      </c>
    </row>
    <row r="51" spans="1:6" x14ac:dyDescent="0.3">
      <c r="A51" s="1">
        <v>42036</v>
      </c>
      <c r="B51" t="s">
        <v>0</v>
      </c>
      <c r="C51">
        <v>1305.56</v>
      </c>
      <c r="D51">
        <v>17.3</v>
      </c>
      <c r="E51">
        <v>13.9</v>
      </c>
      <c r="F51">
        <v>4.8099999999999996</v>
      </c>
    </row>
    <row r="52" spans="1:6" x14ac:dyDescent="0.3">
      <c r="A52" s="1">
        <v>42064</v>
      </c>
      <c r="B52" t="s">
        <v>0</v>
      </c>
      <c r="C52">
        <v>1423.39</v>
      </c>
      <c r="D52">
        <v>26.8</v>
      </c>
      <c r="E52">
        <v>20.260000000000002</v>
      </c>
      <c r="F52">
        <v>5.93</v>
      </c>
    </row>
    <row r="53" spans="1:6" x14ac:dyDescent="0.3">
      <c r="A53" s="1">
        <v>42095</v>
      </c>
      <c r="B53" t="s">
        <v>0</v>
      </c>
      <c r="C53">
        <v>1496.71</v>
      </c>
      <c r="D53">
        <v>7.5</v>
      </c>
      <c r="E53">
        <v>27.46</v>
      </c>
      <c r="F53">
        <v>6.11</v>
      </c>
    </row>
    <row r="54" spans="1:6" x14ac:dyDescent="0.3">
      <c r="A54" s="1">
        <v>42125</v>
      </c>
      <c r="B54" t="s">
        <v>0</v>
      </c>
      <c r="C54">
        <v>1540.7</v>
      </c>
      <c r="D54">
        <v>20.3</v>
      </c>
      <c r="E54">
        <v>34.590000000000003</v>
      </c>
      <c r="F54">
        <v>8.44</v>
      </c>
    </row>
    <row r="55" spans="1:6" x14ac:dyDescent="0.3">
      <c r="A55" s="1">
        <v>42156</v>
      </c>
      <c r="B55" t="s">
        <v>0</v>
      </c>
      <c r="C55">
        <v>1377.69</v>
      </c>
      <c r="D55">
        <v>25.9</v>
      </c>
      <c r="E55">
        <v>39.99</v>
      </c>
      <c r="F55">
        <v>10.95</v>
      </c>
    </row>
    <row r="56" spans="1:6" x14ac:dyDescent="0.3">
      <c r="A56" s="1">
        <v>42186</v>
      </c>
      <c r="B56" t="s">
        <v>0</v>
      </c>
      <c r="C56">
        <v>1442.33</v>
      </c>
      <c r="D56">
        <v>72.3</v>
      </c>
      <c r="E56">
        <v>35.880000000000003</v>
      </c>
      <c r="F56">
        <v>14.99</v>
      </c>
    </row>
    <row r="57" spans="1:6" x14ac:dyDescent="0.3">
      <c r="A57" s="1">
        <v>42217</v>
      </c>
      <c r="B57" t="s">
        <v>0</v>
      </c>
      <c r="C57">
        <v>1737.8</v>
      </c>
      <c r="D57">
        <v>34.799999999999997</v>
      </c>
      <c r="E57">
        <v>32.700000000000003</v>
      </c>
      <c r="F57">
        <v>15.16</v>
      </c>
    </row>
    <row r="58" spans="1:6" x14ac:dyDescent="0.3">
      <c r="A58" s="1">
        <v>42248</v>
      </c>
      <c r="B58" t="s">
        <v>0</v>
      </c>
      <c r="C58">
        <v>1870.41</v>
      </c>
      <c r="D58">
        <v>67.3</v>
      </c>
      <c r="E58">
        <v>28.18</v>
      </c>
      <c r="F58">
        <v>14.64</v>
      </c>
    </row>
    <row r="59" spans="1:6" x14ac:dyDescent="0.3">
      <c r="A59" s="1">
        <v>42278</v>
      </c>
      <c r="B59" t="s">
        <v>0</v>
      </c>
      <c r="C59">
        <v>2011.97</v>
      </c>
      <c r="D59">
        <v>10.5</v>
      </c>
      <c r="E59">
        <v>25.03</v>
      </c>
      <c r="F59">
        <v>7.8</v>
      </c>
    </row>
    <row r="60" spans="1:6" x14ac:dyDescent="0.3">
      <c r="A60" s="1">
        <v>42309</v>
      </c>
      <c r="B60" t="s">
        <v>0</v>
      </c>
      <c r="C60">
        <v>1956.11</v>
      </c>
      <c r="D60">
        <v>0.2</v>
      </c>
      <c r="E60">
        <v>18.84</v>
      </c>
      <c r="F60">
        <v>4.03</v>
      </c>
    </row>
    <row r="61" spans="1:6" x14ac:dyDescent="0.3">
      <c r="A61" s="1">
        <v>42339</v>
      </c>
      <c r="B61" t="s">
        <v>0</v>
      </c>
      <c r="C61">
        <v>1659.13</v>
      </c>
      <c r="D61">
        <v>9.6</v>
      </c>
      <c r="E61">
        <v>12.53</v>
      </c>
      <c r="F61">
        <v>3.49</v>
      </c>
    </row>
    <row r="62" spans="1:6" x14ac:dyDescent="0.3">
      <c r="A62" s="1">
        <v>42370</v>
      </c>
      <c r="B62" t="s">
        <v>0</v>
      </c>
      <c r="C62">
        <v>1675.49</v>
      </c>
      <c r="D62" cm="1">
        <f t="array" aca="1" ref="D62" ca="1">_FV(D62:PVI73,"4")</f>
        <v>0</v>
      </c>
      <c r="E62">
        <v>11.91</v>
      </c>
      <c r="F62">
        <v>4.41</v>
      </c>
    </row>
    <row r="63" spans="1:6" x14ac:dyDescent="0.3">
      <c r="A63" s="1">
        <v>42401</v>
      </c>
      <c r="B63" t="s">
        <v>0</v>
      </c>
      <c r="C63">
        <v>1437.74</v>
      </c>
      <c r="D63">
        <v>6.6</v>
      </c>
      <c r="E63">
        <v>16.850000000000001</v>
      </c>
      <c r="F63">
        <v>4.62</v>
      </c>
    </row>
    <row r="64" spans="1:6" x14ac:dyDescent="0.3">
      <c r="A64" s="1">
        <v>42430</v>
      </c>
      <c r="B64" t="s">
        <v>0</v>
      </c>
      <c r="C64">
        <v>1669.17</v>
      </c>
      <c r="D64">
        <v>71.8</v>
      </c>
      <c r="E64">
        <v>20.22</v>
      </c>
      <c r="F64">
        <v>7.61</v>
      </c>
    </row>
    <row r="65" spans="1:6" x14ac:dyDescent="0.3">
      <c r="A65" s="1">
        <v>42461</v>
      </c>
      <c r="B65" t="s">
        <v>0</v>
      </c>
      <c r="C65">
        <v>1732.71</v>
      </c>
      <c r="D65">
        <v>34.799999999999997</v>
      </c>
      <c r="E65">
        <v>27.75</v>
      </c>
      <c r="F65">
        <v>9.23</v>
      </c>
    </row>
    <row r="66" spans="1:6" x14ac:dyDescent="0.3">
      <c r="A66" s="1">
        <v>42491</v>
      </c>
      <c r="B66" t="s">
        <v>0</v>
      </c>
      <c r="C66">
        <v>1871.56</v>
      </c>
      <c r="D66">
        <v>8.4</v>
      </c>
      <c r="E66">
        <v>35.200000000000003</v>
      </c>
      <c r="F66">
        <v>6.46</v>
      </c>
    </row>
    <row r="67" spans="1:6" x14ac:dyDescent="0.3">
      <c r="A67" s="1">
        <v>42522</v>
      </c>
      <c r="B67" t="s">
        <v>0</v>
      </c>
      <c r="C67">
        <v>1447.5</v>
      </c>
      <c r="D67">
        <v>43.7</v>
      </c>
      <c r="E67">
        <v>37.130000000000003</v>
      </c>
      <c r="F67">
        <v>12.36</v>
      </c>
    </row>
    <row r="68" spans="1:6" x14ac:dyDescent="0.3">
      <c r="A68" s="1">
        <v>42552</v>
      </c>
      <c r="B68" t="s">
        <v>0</v>
      </c>
      <c r="C68">
        <v>1587.14</v>
      </c>
      <c r="D68">
        <v>130.30000000000001</v>
      </c>
      <c r="E68">
        <v>30.7</v>
      </c>
      <c r="F68">
        <v>18.43</v>
      </c>
    </row>
    <row r="69" spans="1:6" x14ac:dyDescent="0.3">
      <c r="A69" s="1">
        <v>42583</v>
      </c>
      <c r="B69" t="s">
        <v>0</v>
      </c>
      <c r="C69">
        <v>2115.83</v>
      </c>
      <c r="D69">
        <v>89.2</v>
      </c>
      <c r="E69">
        <v>28.93</v>
      </c>
      <c r="F69">
        <v>18.100000000000001</v>
      </c>
    </row>
    <row r="70" spans="1:6" x14ac:dyDescent="0.3">
      <c r="A70" s="1">
        <v>42614</v>
      </c>
      <c r="B70" t="s">
        <v>0</v>
      </c>
      <c r="C70">
        <v>1644.09</v>
      </c>
      <c r="D70">
        <v>32.1</v>
      </c>
      <c r="E70">
        <v>27.43</v>
      </c>
      <c r="F70">
        <v>11.98</v>
      </c>
    </row>
    <row r="71" spans="1:6" x14ac:dyDescent="0.3">
      <c r="A71" s="1">
        <v>42644</v>
      </c>
      <c r="B71" t="s">
        <v>0</v>
      </c>
      <c r="C71">
        <v>1718.8</v>
      </c>
      <c r="D71">
        <v>3.7</v>
      </c>
      <c r="E71">
        <v>25.02</v>
      </c>
      <c r="F71">
        <v>7.45</v>
      </c>
    </row>
    <row r="72" spans="1:6" x14ac:dyDescent="0.3">
      <c r="A72" s="1">
        <v>42675</v>
      </c>
      <c r="B72" t="s">
        <v>0</v>
      </c>
      <c r="C72">
        <v>1703.93</v>
      </c>
      <c r="D72">
        <v>2.2999999999999998</v>
      </c>
      <c r="E72">
        <v>19.760000000000002</v>
      </c>
      <c r="F72">
        <v>5.53</v>
      </c>
    </row>
    <row r="73" spans="1:6" x14ac:dyDescent="0.3">
      <c r="A73" s="1">
        <v>42705</v>
      </c>
      <c r="B73" t="s">
        <v>0</v>
      </c>
      <c r="C73">
        <v>1592.03</v>
      </c>
      <c r="D73">
        <v>0.2</v>
      </c>
      <c r="E73">
        <v>13.74</v>
      </c>
      <c r="F73">
        <v>2.91</v>
      </c>
    </row>
    <row r="74" spans="1:6" x14ac:dyDescent="0.3">
      <c r="A74" s="1">
        <v>42736</v>
      </c>
      <c r="B74" t="s">
        <v>0</v>
      </c>
      <c r="C74">
        <v>1649.39</v>
      </c>
      <c r="D74" cm="1">
        <f t="array" aca="1" ref="D74" ca="1">D74:AND85</f>
        <v>0</v>
      </c>
      <c r="E74">
        <v>13.25</v>
      </c>
      <c r="F74">
        <v>3.15</v>
      </c>
    </row>
    <row r="75" spans="1:6" x14ac:dyDescent="0.3">
      <c r="A75" s="1">
        <v>42767</v>
      </c>
      <c r="B75" t="s">
        <v>0</v>
      </c>
      <c r="C75">
        <v>1497.74</v>
      </c>
      <c r="D75">
        <v>1.1000000000000001</v>
      </c>
      <c r="E75">
        <v>16.93</v>
      </c>
      <c r="F75">
        <v>3</v>
      </c>
    </row>
    <row r="76" spans="1:6" x14ac:dyDescent="0.3">
      <c r="A76" s="1">
        <v>42795</v>
      </c>
      <c r="B76" t="s">
        <v>0</v>
      </c>
      <c r="C76">
        <v>1729.75</v>
      </c>
      <c r="D76">
        <v>20.7</v>
      </c>
      <c r="E76">
        <v>24.03</v>
      </c>
      <c r="F76">
        <v>5.76</v>
      </c>
    </row>
    <row r="77" spans="1:6" x14ac:dyDescent="0.3">
      <c r="A77" s="1">
        <v>42826</v>
      </c>
      <c r="B77" t="s">
        <v>0</v>
      </c>
      <c r="C77">
        <v>1853.35</v>
      </c>
      <c r="D77">
        <v>0.6</v>
      </c>
      <c r="E77">
        <v>31.9</v>
      </c>
      <c r="F77">
        <v>5.41</v>
      </c>
    </row>
    <row r="78" spans="1:6" x14ac:dyDescent="0.3">
      <c r="A78" s="1">
        <v>42856</v>
      </c>
      <c r="B78" t="s">
        <v>0</v>
      </c>
      <c r="C78">
        <v>1897.02</v>
      </c>
      <c r="D78">
        <v>26.7</v>
      </c>
      <c r="E78">
        <v>36.28</v>
      </c>
      <c r="F78">
        <v>8.74</v>
      </c>
    </row>
    <row r="79" spans="1:6" x14ac:dyDescent="0.3">
      <c r="A79" s="1">
        <v>42887</v>
      </c>
      <c r="B79" t="s">
        <v>0</v>
      </c>
      <c r="C79">
        <v>1601.72</v>
      </c>
      <c r="D79">
        <v>35.799999999999997</v>
      </c>
      <c r="E79">
        <v>37.630000000000003</v>
      </c>
      <c r="F79">
        <v>13.37</v>
      </c>
    </row>
    <row r="80" spans="1:6" x14ac:dyDescent="0.3">
      <c r="A80" s="1">
        <v>42917</v>
      </c>
      <c r="B80" t="s">
        <v>0</v>
      </c>
      <c r="C80">
        <v>1595.39</v>
      </c>
      <c r="D80">
        <v>159.80000000000001</v>
      </c>
      <c r="E80">
        <v>32.869999999999997</v>
      </c>
      <c r="F80">
        <v>19.29</v>
      </c>
    </row>
    <row r="81" spans="1:6" x14ac:dyDescent="0.3">
      <c r="A81" s="1">
        <v>42948</v>
      </c>
      <c r="B81" t="s">
        <v>0</v>
      </c>
      <c r="C81">
        <v>1805.6</v>
      </c>
      <c r="D81">
        <v>133</v>
      </c>
      <c r="E81">
        <v>29.52</v>
      </c>
      <c r="F81">
        <v>19.47</v>
      </c>
    </row>
    <row r="82" spans="1:6" x14ac:dyDescent="0.3">
      <c r="A82" s="1">
        <v>42979</v>
      </c>
      <c r="B82" t="s">
        <v>0</v>
      </c>
      <c r="C82">
        <v>1839.19</v>
      </c>
      <c r="D82">
        <v>14.8</v>
      </c>
      <c r="E82">
        <v>28.96</v>
      </c>
      <c r="F82">
        <v>14.28</v>
      </c>
    </row>
    <row r="83" spans="1:6" x14ac:dyDescent="0.3">
      <c r="A83" s="1">
        <v>43009</v>
      </c>
      <c r="B83" t="s">
        <v>0</v>
      </c>
      <c r="C83">
        <v>1617.94</v>
      </c>
      <c r="D83">
        <v>5.2</v>
      </c>
      <c r="E83">
        <v>24.67</v>
      </c>
      <c r="F83">
        <v>7.84</v>
      </c>
    </row>
    <row r="84" spans="1:6" x14ac:dyDescent="0.3">
      <c r="A84" s="1">
        <v>43040</v>
      </c>
      <c r="B84" t="s">
        <v>0</v>
      </c>
      <c r="C84">
        <v>1558.63</v>
      </c>
      <c r="D84">
        <v>0</v>
      </c>
      <c r="E84">
        <v>18.53</v>
      </c>
      <c r="F84">
        <v>3.47</v>
      </c>
    </row>
    <row r="85" spans="1:6" x14ac:dyDescent="0.3">
      <c r="A85" s="1">
        <v>43070</v>
      </c>
      <c r="B85" t="s">
        <v>0</v>
      </c>
      <c r="C85">
        <v>1666.69</v>
      </c>
      <c r="D85">
        <v>1</v>
      </c>
      <c r="E85">
        <v>14.73</v>
      </c>
      <c r="F85">
        <v>3.11</v>
      </c>
    </row>
    <row r="86" spans="1:6" x14ac:dyDescent="0.3">
      <c r="A86" s="1">
        <v>43101</v>
      </c>
      <c r="B86" t="s">
        <v>0</v>
      </c>
      <c r="C86">
        <v>1653.06</v>
      </c>
      <c r="D86" cm="1">
        <f t="array" aca="1" ref="D86" ca="1">_FV(D86:QDU97,"2")</f>
        <v>0</v>
      </c>
      <c r="E86">
        <v>12.78</v>
      </c>
      <c r="F86">
        <v>4.46</v>
      </c>
    </row>
    <row r="87" spans="1:6" x14ac:dyDescent="0.3">
      <c r="A87" s="1">
        <v>43132</v>
      </c>
      <c r="B87" t="s">
        <v>0</v>
      </c>
      <c r="C87">
        <v>1618.76</v>
      </c>
      <c r="D87">
        <v>0.3</v>
      </c>
      <c r="E87">
        <v>16.77</v>
      </c>
      <c r="F87">
        <v>4.75</v>
      </c>
    </row>
    <row r="88" spans="1:6" x14ac:dyDescent="0.3">
      <c r="A88" s="1">
        <v>43160</v>
      </c>
      <c r="B88" t="s">
        <v>0</v>
      </c>
      <c r="C88">
        <v>1630.69</v>
      </c>
      <c r="D88">
        <v>7.2</v>
      </c>
      <c r="E88">
        <v>22.37</v>
      </c>
      <c r="F88">
        <v>4.7300000000000004</v>
      </c>
    </row>
    <row r="89" spans="1:6" x14ac:dyDescent="0.3">
      <c r="A89" s="1">
        <v>43191</v>
      </c>
      <c r="B89" t="s">
        <v>0</v>
      </c>
      <c r="C89">
        <v>1680.74</v>
      </c>
      <c r="D89">
        <v>4.3</v>
      </c>
      <c r="E89">
        <v>31.41</v>
      </c>
      <c r="F89">
        <v>5.13</v>
      </c>
    </row>
    <row r="90" spans="1:6" x14ac:dyDescent="0.3">
      <c r="A90" s="1">
        <v>43221</v>
      </c>
      <c r="B90" t="s">
        <v>0</v>
      </c>
      <c r="C90">
        <v>1733.97</v>
      </c>
      <c r="D90">
        <v>10.3</v>
      </c>
      <c r="E90">
        <v>36.92</v>
      </c>
      <c r="F90">
        <v>7.88</v>
      </c>
    </row>
    <row r="91" spans="1:6" x14ac:dyDescent="0.3">
      <c r="A91" s="1">
        <v>43252</v>
      </c>
      <c r="B91" t="s">
        <v>0</v>
      </c>
      <c r="C91">
        <v>1830.7</v>
      </c>
      <c r="D91">
        <v>121.2</v>
      </c>
      <c r="E91">
        <v>35.76</v>
      </c>
      <c r="F91">
        <v>14.41</v>
      </c>
    </row>
    <row r="92" spans="1:6" x14ac:dyDescent="0.3">
      <c r="A92" s="1">
        <v>43282</v>
      </c>
      <c r="B92" t="s">
        <v>0</v>
      </c>
      <c r="C92">
        <v>1825.27</v>
      </c>
      <c r="D92">
        <v>69.2</v>
      </c>
      <c r="E92">
        <v>32.130000000000003</v>
      </c>
      <c r="F92">
        <v>18.63</v>
      </c>
    </row>
    <row r="93" spans="1:6" x14ac:dyDescent="0.3">
      <c r="A93" s="1">
        <v>43313</v>
      </c>
      <c r="B93" t="s">
        <v>0</v>
      </c>
      <c r="C93">
        <v>1829.72</v>
      </c>
      <c r="D93">
        <v>76.5</v>
      </c>
      <c r="E93">
        <v>29.54</v>
      </c>
      <c r="F93">
        <v>17.72</v>
      </c>
    </row>
    <row r="94" spans="1:6" x14ac:dyDescent="0.3">
      <c r="A94" s="1">
        <v>43344</v>
      </c>
      <c r="B94" t="s">
        <v>0</v>
      </c>
      <c r="C94">
        <v>1866.42</v>
      </c>
      <c r="D94">
        <v>92.5</v>
      </c>
      <c r="E94">
        <v>26.5</v>
      </c>
      <c r="F94">
        <v>13.3</v>
      </c>
    </row>
    <row r="95" spans="1:6" x14ac:dyDescent="0.3">
      <c r="A95" s="1">
        <v>43374</v>
      </c>
      <c r="B95" t="s">
        <v>0</v>
      </c>
      <c r="C95">
        <v>1745.17</v>
      </c>
      <c r="D95">
        <v>0</v>
      </c>
      <c r="E95">
        <v>23.35</v>
      </c>
      <c r="F95">
        <v>6.47</v>
      </c>
    </row>
    <row r="96" spans="1:6" x14ac:dyDescent="0.3">
      <c r="A96" s="1">
        <v>43405</v>
      </c>
      <c r="B96" t="s">
        <v>0</v>
      </c>
      <c r="C96">
        <v>1735.95</v>
      </c>
      <c r="D96">
        <v>1.8</v>
      </c>
      <c r="E96">
        <v>17.23</v>
      </c>
      <c r="F96">
        <v>4.51</v>
      </c>
    </row>
    <row r="97" spans="1:6" x14ac:dyDescent="0.3">
      <c r="A97" s="1">
        <v>43435</v>
      </c>
      <c r="B97" t="s">
        <v>0</v>
      </c>
      <c r="C97">
        <v>1913.98</v>
      </c>
      <c r="D97">
        <v>4.2</v>
      </c>
      <c r="E97">
        <v>13.61</v>
      </c>
      <c r="F97">
        <v>3.74</v>
      </c>
    </row>
    <row r="98" spans="1:6" x14ac:dyDescent="0.3">
      <c r="A98" s="1">
        <v>43466</v>
      </c>
      <c r="B98" t="s">
        <v>0</v>
      </c>
      <c r="C98">
        <v>2075.0100000000002</v>
      </c>
      <c r="D98">
        <v>40.724319458007798</v>
      </c>
      <c r="E98">
        <v>11.55</v>
      </c>
      <c r="F98">
        <v>3.06</v>
      </c>
    </row>
    <row r="99" spans="1:6" x14ac:dyDescent="0.3">
      <c r="A99" s="1">
        <v>43497</v>
      </c>
      <c r="B99" t="s">
        <v>0</v>
      </c>
      <c r="C99">
        <v>2240.56</v>
      </c>
      <c r="D99">
        <v>28.940046310424801</v>
      </c>
      <c r="E99">
        <v>17.059999999999999</v>
      </c>
      <c r="F99">
        <v>3.98</v>
      </c>
    </row>
    <row r="100" spans="1:6" x14ac:dyDescent="0.3">
      <c r="A100" s="1">
        <v>43525</v>
      </c>
      <c r="B100" t="s">
        <v>0</v>
      </c>
      <c r="C100">
        <v>2325.21</v>
      </c>
      <c r="D100">
        <v>21.607376098632798</v>
      </c>
      <c r="E100">
        <v>24.27</v>
      </c>
      <c r="F100">
        <v>4.3099999999999996</v>
      </c>
    </row>
    <row r="101" spans="1:6" x14ac:dyDescent="0.3">
      <c r="A101" s="1">
        <v>43556</v>
      </c>
      <c r="B101" t="s">
        <v>0</v>
      </c>
      <c r="C101">
        <v>2445.31</v>
      </c>
      <c r="D101">
        <v>15.623426437377899</v>
      </c>
      <c r="E101">
        <v>31.06</v>
      </c>
      <c r="F101">
        <v>6.15</v>
      </c>
    </row>
    <row r="102" spans="1:6" x14ac:dyDescent="0.3">
      <c r="A102" s="1">
        <v>43586</v>
      </c>
      <c r="B102" t="s">
        <v>0</v>
      </c>
      <c r="C102">
        <v>2464.14</v>
      </c>
      <c r="D102">
        <v>25.399351119995099</v>
      </c>
      <c r="E102">
        <v>35.76</v>
      </c>
      <c r="F102">
        <v>7.22</v>
      </c>
    </row>
    <row r="103" spans="1:6" x14ac:dyDescent="0.3">
      <c r="A103" s="1">
        <v>43617</v>
      </c>
      <c r="B103" t="s">
        <v>0</v>
      </c>
      <c r="C103">
        <v>2574.0700000000002</v>
      </c>
      <c r="D103">
        <v>140.92913818359301</v>
      </c>
      <c r="E103">
        <v>35.369999999999997</v>
      </c>
      <c r="F103">
        <v>14.25</v>
      </c>
    </row>
    <row r="104" spans="1:6" x14ac:dyDescent="0.3">
      <c r="A104" s="1">
        <v>43647</v>
      </c>
      <c r="B104" t="s">
        <v>0</v>
      </c>
      <c r="C104">
        <v>2680.26</v>
      </c>
      <c r="D104">
        <v>152.03237915039</v>
      </c>
      <c r="E104">
        <v>30.69</v>
      </c>
      <c r="F104">
        <v>19.399999999999999</v>
      </c>
    </row>
    <row r="105" spans="1:6" x14ac:dyDescent="0.3">
      <c r="A105" s="1">
        <v>43678</v>
      </c>
      <c r="B105" t="s">
        <v>0</v>
      </c>
      <c r="C105">
        <v>2776.3</v>
      </c>
      <c r="D105">
        <v>114.713562011718</v>
      </c>
      <c r="E105">
        <v>28.53</v>
      </c>
      <c r="F105">
        <v>18.72</v>
      </c>
    </row>
    <row r="106" spans="1:6" x14ac:dyDescent="0.3">
      <c r="A106" s="1">
        <v>43709</v>
      </c>
      <c r="B106" t="s">
        <v>0</v>
      </c>
      <c r="C106">
        <v>2367.5700000000002</v>
      </c>
      <c r="D106">
        <v>222.70639038085901</v>
      </c>
      <c r="E106">
        <v>25.8</v>
      </c>
      <c r="F106">
        <v>16.04</v>
      </c>
    </row>
    <row r="107" spans="1:6" x14ac:dyDescent="0.3">
      <c r="A107" s="1">
        <v>43739</v>
      </c>
      <c r="B107" t="s">
        <v>0</v>
      </c>
      <c r="C107">
        <v>2262.69</v>
      </c>
      <c r="D107">
        <v>30.105714797973601</v>
      </c>
      <c r="E107">
        <v>21.06</v>
      </c>
      <c r="F107">
        <v>9.68</v>
      </c>
    </row>
    <row r="108" spans="1:6" x14ac:dyDescent="0.3">
      <c r="A108" s="1">
        <v>43770</v>
      </c>
      <c r="B108" t="s">
        <v>0</v>
      </c>
      <c r="C108">
        <v>2143.83</v>
      </c>
      <c r="D108">
        <v>11.1989231109619</v>
      </c>
      <c r="E108">
        <v>16.489999999999998</v>
      </c>
      <c r="F108">
        <v>6.15</v>
      </c>
    </row>
    <row r="109" spans="1:6" x14ac:dyDescent="0.3">
      <c r="A109" s="1">
        <v>43800</v>
      </c>
      <c r="B109" t="s">
        <v>0</v>
      </c>
      <c r="C109">
        <v>1923.29</v>
      </c>
      <c r="D109">
        <v>17.999532699584901</v>
      </c>
      <c r="E109">
        <v>10.8</v>
      </c>
      <c r="F109">
        <v>3.78</v>
      </c>
    </row>
    <row r="110" spans="1:6" x14ac:dyDescent="0.3">
      <c r="A110" s="1">
        <v>43831</v>
      </c>
      <c r="B110" t="s">
        <v>0</v>
      </c>
      <c r="C110">
        <v>2025</v>
      </c>
      <c r="D110">
        <v>62.664054870605398</v>
      </c>
      <c r="E110">
        <v>10.76</v>
      </c>
      <c r="F110">
        <v>3.94</v>
      </c>
    </row>
    <row r="111" spans="1:6" x14ac:dyDescent="0.3">
      <c r="A111" s="1">
        <v>43862</v>
      </c>
      <c r="B111" t="s">
        <v>0</v>
      </c>
      <c r="C111">
        <v>2063.64</v>
      </c>
      <c r="D111">
        <v>49.846126556396399</v>
      </c>
      <c r="E111">
        <v>13.86</v>
      </c>
      <c r="F111">
        <v>5.21</v>
      </c>
    </row>
    <row r="112" spans="1:6" x14ac:dyDescent="0.3">
      <c r="A112" s="1">
        <v>43891</v>
      </c>
      <c r="B112" t="s">
        <v>0</v>
      </c>
      <c r="C112">
        <v>2360</v>
      </c>
      <c r="D112">
        <v>31.265270233154201</v>
      </c>
      <c r="E112">
        <v>19.79</v>
      </c>
      <c r="F112">
        <v>5.43</v>
      </c>
    </row>
    <row r="113" spans="1:6" x14ac:dyDescent="0.3">
      <c r="A113" s="1">
        <v>43922</v>
      </c>
      <c r="B113" t="s">
        <v>0</v>
      </c>
      <c r="C113">
        <v>1500</v>
      </c>
      <c r="D113">
        <v>25.382369995117099</v>
      </c>
      <c r="E113">
        <v>29.78</v>
      </c>
      <c r="F113">
        <v>7.05</v>
      </c>
    </row>
    <row r="114" spans="1:6" x14ac:dyDescent="0.3">
      <c r="A114" s="1">
        <v>43952</v>
      </c>
      <c r="B114" t="s">
        <v>0</v>
      </c>
      <c r="C114">
        <v>1725</v>
      </c>
      <c r="D114">
        <v>26.7749633789062</v>
      </c>
      <c r="E114">
        <v>34.83</v>
      </c>
      <c r="F114">
        <v>8.4</v>
      </c>
    </row>
    <row r="115" spans="1:6" x14ac:dyDescent="0.3">
      <c r="A115" s="1">
        <v>43983</v>
      </c>
      <c r="B115" t="s">
        <v>0</v>
      </c>
      <c r="C115">
        <v>1963.64</v>
      </c>
      <c r="D115">
        <v>47.122177124023402</v>
      </c>
      <c r="E115">
        <v>38.6</v>
      </c>
      <c r="F115">
        <v>10.7</v>
      </c>
    </row>
    <row r="116" spans="1:6" x14ac:dyDescent="0.3">
      <c r="A116" s="1">
        <v>44013</v>
      </c>
      <c r="B116" t="s">
        <v>0</v>
      </c>
      <c r="C116">
        <v>2128.5700000000002</v>
      </c>
      <c r="D116">
        <v>147.59248352050699</v>
      </c>
      <c r="E116">
        <v>33.07</v>
      </c>
      <c r="F116">
        <v>18.14</v>
      </c>
    </row>
    <row r="117" spans="1:6" x14ac:dyDescent="0.3">
      <c r="A117" s="1">
        <v>44044</v>
      </c>
      <c r="B117" t="s">
        <v>0</v>
      </c>
      <c r="C117">
        <v>2133.33</v>
      </c>
      <c r="D117">
        <v>146.92176818847599</v>
      </c>
      <c r="E117">
        <v>29.48</v>
      </c>
      <c r="F117">
        <v>19.59</v>
      </c>
    </row>
    <row r="118" spans="1:6" x14ac:dyDescent="0.3">
      <c r="A118" s="1">
        <v>44075</v>
      </c>
      <c r="B118" t="s">
        <v>0</v>
      </c>
      <c r="C118">
        <v>2544.44</v>
      </c>
      <c r="D118">
        <v>159.41749572753901</v>
      </c>
      <c r="E118">
        <v>28.11</v>
      </c>
      <c r="F118">
        <v>17.579999999999998</v>
      </c>
    </row>
    <row r="119" spans="1:6" x14ac:dyDescent="0.3">
      <c r="A119" s="1">
        <v>44105</v>
      </c>
      <c r="B119" t="s">
        <v>0</v>
      </c>
      <c r="C119">
        <v>2287.5</v>
      </c>
      <c r="D119">
        <v>44.304347991943303</v>
      </c>
      <c r="E119">
        <v>22.92</v>
      </c>
      <c r="F119">
        <v>10.4</v>
      </c>
    </row>
    <row r="120" spans="1:6" x14ac:dyDescent="0.3">
      <c r="A120" s="1">
        <v>44136</v>
      </c>
      <c r="B120" t="s">
        <v>0</v>
      </c>
      <c r="C120">
        <v>2300</v>
      </c>
      <c r="D120">
        <v>18.596237182617099</v>
      </c>
      <c r="E120">
        <v>19.079999999999998</v>
      </c>
      <c r="F120">
        <v>7.68</v>
      </c>
    </row>
    <row r="121" spans="1:6" x14ac:dyDescent="0.3">
      <c r="A121" s="1">
        <v>44166</v>
      </c>
      <c r="B121" t="s">
        <v>0</v>
      </c>
      <c r="C121">
        <v>2000</v>
      </c>
      <c r="D121">
        <v>32.937034606933501</v>
      </c>
      <c r="E121">
        <v>11.4</v>
      </c>
      <c r="F121">
        <v>4.78</v>
      </c>
    </row>
    <row r="122" spans="1:6" x14ac:dyDescent="0.3">
      <c r="A122" s="1">
        <v>44197</v>
      </c>
      <c r="B122" t="s">
        <v>0</v>
      </c>
      <c r="C122">
        <v>2225</v>
      </c>
      <c r="D122">
        <v>117.261184692382</v>
      </c>
      <c r="E122">
        <v>10.86</v>
      </c>
      <c r="F122">
        <v>5.34</v>
      </c>
    </row>
    <row r="123" spans="1:6" x14ac:dyDescent="0.3">
      <c r="A123" s="1">
        <v>44228</v>
      </c>
      <c r="B123" t="s">
        <v>0</v>
      </c>
      <c r="C123">
        <v>2956.48</v>
      </c>
      <c r="D123">
        <v>33.018070220947202</v>
      </c>
      <c r="E123">
        <v>14.27</v>
      </c>
      <c r="F123">
        <v>5.33</v>
      </c>
    </row>
    <row r="124" spans="1:6" x14ac:dyDescent="0.3">
      <c r="A124" s="1">
        <v>44256</v>
      </c>
      <c r="B124" t="s">
        <v>0</v>
      </c>
      <c r="C124">
        <v>2486.5300000000002</v>
      </c>
      <c r="D124">
        <v>83.373733520507798</v>
      </c>
      <c r="E124">
        <v>19.37</v>
      </c>
      <c r="F124">
        <v>8.34</v>
      </c>
    </row>
    <row r="125" spans="1:6" x14ac:dyDescent="0.3">
      <c r="A125" s="1">
        <v>44287</v>
      </c>
      <c r="B125" t="s">
        <v>0</v>
      </c>
      <c r="C125">
        <v>2458.79</v>
      </c>
      <c r="D125">
        <v>23.8344612121582</v>
      </c>
      <c r="E125">
        <v>27.12</v>
      </c>
      <c r="F125">
        <v>9.1</v>
      </c>
    </row>
    <row r="126" spans="1:6" x14ac:dyDescent="0.3">
      <c r="A126" s="1">
        <v>44317</v>
      </c>
      <c r="B126" t="s">
        <v>0</v>
      </c>
      <c r="C126">
        <v>2888.4</v>
      </c>
      <c r="D126">
        <v>37.177391052246001</v>
      </c>
      <c r="E126">
        <v>32.81</v>
      </c>
      <c r="F126">
        <v>9.4700000000000006</v>
      </c>
    </row>
    <row r="127" spans="1:6" x14ac:dyDescent="0.3">
      <c r="A127" s="1">
        <v>44348</v>
      </c>
      <c r="B127" t="s">
        <v>0</v>
      </c>
      <c r="C127">
        <v>2647.37</v>
      </c>
      <c r="D127">
        <v>53.839363098144503</v>
      </c>
      <c r="E127">
        <v>35.49</v>
      </c>
      <c r="F127">
        <v>14.2</v>
      </c>
    </row>
    <row r="128" spans="1:6" x14ac:dyDescent="0.3">
      <c r="A128" s="1">
        <v>44378</v>
      </c>
      <c r="B128" t="s">
        <v>0</v>
      </c>
      <c r="C128">
        <v>2643.63</v>
      </c>
      <c r="D128">
        <v>115.34054565429599</v>
      </c>
      <c r="E128">
        <v>32.549999999999997</v>
      </c>
      <c r="F128">
        <v>18.98</v>
      </c>
    </row>
    <row r="129" spans="1:6" x14ac:dyDescent="0.3">
      <c r="A129" s="1">
        <v>44409</v>
      </c>
      <c r="B129" t="s">
        <v>0</v>
      </c>
      <c r="C129">
        <v>2476.04</v>
      </c>
      <c r="D129">
        <v>93.530143737792898</v>
      </c>
      <c r="E129">
        <v>29.25</v>
      </c>
      <c r="F129">
        <v>21.04</v>
      </c>
    </row>
    <row r="130" spans="1:6" x14ac:dyDescent="0.3">
      <c r="A130" s="1">
        <v>44440</v>
      </c>
      <c r="B130" t="s">
        <v>0</v>
      </c>
      <c r="C130">
        <v>3267.86</v>
      </c>
      <c r="D130">
        <v>109.352424621582</v>
      </c>
      <c r="E130">
        <v>27.82</v>
      </c>
      <c r="F130">
        <v>16.64</v>
      </c>
    </row>
    <row r="131" spans="1:6" x14ac:dyDescent="0.3">
      <c r="A131" s="1">
        <v>44470</v>
      </c>
      <c r="B131" t="s">
        <v>0</v>
      </c>
      <c r="C131">
        <v>2959.62</v>
      </c>
      <c r="D131">
        <v>14.670713424682599</v>
      </c>
      <c r="E131">
        <v>24</v>
      </c>
      <c r="F131">
        <v>7.02</v>
      </c>
    </row>
    <row r="132" spans="1:6" x14ac:dyDescent="0.3">
      <c r="A132" s="1">
        <v>44501</v>
      </c>
      <c r="B132" t="s">
        <v>0</v>
      </c>
      <c r="C132">
        <v>2695.45</v>
      </c>
      <c r="D132">
        <v>13.867408752441399</v>
      </c>
      <c r="E132">
        <v>17.43</v>
      </c>
      <c r="F132">
        <v>4.7699999999999996</v>
      </c>
    </row>
    <row r="133" spans="1:6" x14ac:dyDescent="0.3">
      <c r="A133" s="1">
        <v>44531</v>
      </c>
      <c r="B133" t="s">
        <v>0</v>
      </c>
      <c r="C133">
        <v>3445.67</v>
      </c>
      <c r="D133">
        <v>30.181510925292901</v>
      </c>
      <c r="E133">
        <v>13.69</v>
      </c>
      <c r="F133">
        <v>4.32</v>
      </c>
    </row>
    <row r="134" spans="1:6" x14ac:dyDescent="0.3">
      <c r="A134" s="1">
        <v>44562</v>
      </c>
      <c r="B134" t="s">
        <v>0</v>
      </c>
      <c r="C134">
        <v>3653.22</v>
      </c>
      <c r="D134">
        <v>33.254344940185497</v>
      </c>
      <c r="E134">
        <v>11.15</v>
      </c>
      <c r="F134">
        <v>4.95</v>
      </c>
    </row>
    <row r="135" spans="1:6" x14ac:dyDescent="0.3">
      <c r="A135" s="1">
        <v>44593</v>
      </c>
      <c r="B135" t="s">
        <v>0</v>
      </c>
      <c r="C135">
        <v>3684.74</v>
      </c>
      <c r="D135">
        <v>32.225318908691399</v>
      </c>
      <c r="E135">
        <v>13.18</v>
      </c>
      <c r="F135">
        <v>4.88</v>
      </c>
    </row>
    <row r="136" spans="1:6" x14ac:dyDescent="0.3">
      <c r="A136" s="1">
        <v>44621</v>
      </c>
      <c r="B136" t="s">
        <v>0</v>
      </c>
      <c r="C136">
        <v>3584.47</v>
      </c>
      <c r="D136">
        <v>22.579402923583899</v>
      </c>
      <c r="E136">
        <v>23.64</v>
      </c>
      <c r="F136">
        <v>5</v>
      </c>
    </row>
    <row r="137" spans="1:6" x14ac:dyDescent="0.3">
      <c r="A137" s="1">
        <v>44652</v>
      </c>
      <c r="B137" t="s">
        <v>0</v>
      </c>
      <c r="C137">
        <v>3335.64</v>
      </c>
      <c r="D137">
        <v>18.387607574462798</v>
      </c>
      <c r="E137">
        <v>31.65</v>
      </c>
      <c r="F137">
        <v>4.72</v>
      </c>
    </row>
    <row r="138" spans="1:6" x14ac:dyDescent="0.3">
      <c r="A138" s="1">
        <v>44682</v>
      </c>
      <c r="B138" t="s">
        <v>0</v>
      </c>
      <c r="C138">
        <v>3343.72</v>
      </c>
      <c r="D138">
        <v>58.556083679199197</v>
      </c>
      <c r="E138">
        <v>35.229999999999997</v>
      </c>
      <c r="F138">
        <v>9.57</v>
      </c>
    </row>
    <row r="139" spans="1:6" x14ac:dyDescent="0.3">
      <c r="A139" s="1">
        <v>44713</v>
      </c>
      <c r="B139" t="s">
        <v>0</v>
      </c>
      <c r="C139">
        <v>3569.06</v>
      </c>
      <c r="D139">
        <v>182.64152526855401</v>
      </c>
      <c r="E139">
        <v>36.4</v>
      </c>
      <c r="F139">
        <v>14.28</v>
      </c>
    </row>
    <row r="140" spans="1:6" x14ac:dyDescent="0.3">
      <c r="A140" s="1">
        <v>44743</v>
      </c>
      <c r="B140" t="s">
        <v>0</v>
      </c>
      <c r="C140">
        <v>3549.76</v>
      </c>
      <c r="D140">
        <v>135.88572692871</v>
      </c>
      <c r="E140">
        <v>30.78</v>
      </c>
      <c r="F140">
        <v>19.11</v>
      </c>
    </row>
    <row r="141" spans="1:6" x14ac:dyDescent="0.3">
      <c r="A141" s="1">
        <v>44774</v>
      </c>
      <c r="B141" t="s">
        <v>0</v>
      </c>
      <c r="C141">
        <v>3682.8</v>
      </c>
      <c r="D141">
        <v>94.939529418945298</v>
      </c>
      <c r="E141">
        <v>28.43</v>
      </c>
      <c r="F141">
        <v>20.52</v>
      </c>
    </row>
    <row r="142" spans="1:6" x14ac:dyDescent="0.3">
      <c r="A142" s="1">
        <v>44805</v>
      </c>
      <c r="B142" t="s">
        <v>0</v>
      </c>
      <c r="C142">
        <v>3392.9</v>
      </c>
      <c r="D142">
        <v>291.72717285156199</v>
      </c>
      <c r="E142">
        <v>27.39</v>
      </c>
      <c r="F142">
        <v>19.59</v>
      </c>
    </row>
    <row r="143" spans="1:6" x14ac:dyDescent="0.3">
      <c r="A143" s="1">
        <v>44835</v>
      </c>
      <c r="B143" t="s">
        <v>0</v>
      </c>
      <c r="C143">
        <v>3003.38</v>
      </c>
      <c r="D143">
        <v>63.824264526367102</v>
      </c>
      <c r="E143">
        <v>21.37</v>
      </c>
      <c r="F143">
        <v>13.95</v>
      </c>
    </row>
    <row r="144" spans="1:6" x14ac:dyDescent="0.3">
      <c r="A144" s="1">
        <v>44866</v>
      </c>
      <c r="B144" t="s">
        <v>0</v>
      </c>
      <c r="C144">
        <v>2794.19</v>
      </c>
      <c r="D144">
        <v>7.0507473945617596</v>
      </c>
      <c r="E144">
        <v>16.61</v>
      </c>
      <c r="F144">
        <v>7.78</v>
      </c>
    </row>
    <row r="145" spans="1:6" x14ac:dyDescent="0.3">
      <c r="A145" s="1">
        <v>44896</v>
      </c>
      <c r="B145" t="s">
        <v>0</v>
      </c>
      <c r="C145">
        <v>3504.61</v>
      </c>
      <c r="D145">
        <v>23.501884460449201</v>
      </c>
      <c r="E145">
        <v>12.89</v>
      </c>
      <c r="F145">
        <v>5.82</v>
      </c>
    </row>
    <row r="146" spans="1:6" x14ac:dyDescent="0.3">
      <c r="A146" s="1">
        <v>44927</v>
      </c>
      <c r="B146" t="s">
        <v>0</v>
      </c>
      <c r="C146">
        <v>3415.19</v>
      </c>
      <c r="D146">
        <v>106.088722229003</v>
      </c>
      <c r="E146">
        <v>11.62</v>
      </c>
      <c r="F146">
        <v>6.08</v>
      </c>
    </row>
    <row r="147" spans="1:6" x14ac:dyDescent="0.3">
      <c r="A147" s="1">
        <v>44958</v>
      </c>
      <c r="B147" t="s">
        <v>0</v>
      </c>
      <c r="C147">
        <v>3478.15</v>
      </c>
      <c r="D147">
        <v>65.618034362792898</v>
      </c>
      <c r="E147">
        <v>17.239999999999998</v>
      </c>
      <c r="F147">
        <v>6.1</v>
      </c>
    </row>
    <row r="148" spans="1:6" x14ac:dyDescent="0.3">
      <c r="A148" s="1">
        <v>44986</v>
      </c>
      <c r="B148" t="s">
        <v>0</v>
      </c>
      <c r="C148">
        <v>3334.38</v>
      </c>
      <c r="D148">
        <v>9.4347581863403303</v>
      </c>
      <c r="E148">
        <v>22.5</v>
      </c>
      <c r="F148">
        <v>7.1</v>
      </c>
    </row>
    <row r="149" spans="1:6" x14ac:dyDescent="0.3">
      <c r="A149" s="1">
        <v>45017</v>
      </c>
      <c r="B149" t="s">
        <v>0</v>
      </c>
      <c r="C149">
        <v>3409.59</v>
      </c>
      <c r="D149">
        <v>5.8219738006591797</v>
      </c>
      <c r="E149">
        <v>26.96</v>
      </c>
      <c r="F149">
        <v>4.53</v>
      </c>
    </row>
    <row r="150" spans="1:6" x14ac:dyDescent="0.3">
      <c r="A150" s="1">
        <v>45047</v>
      </c>
      <c r="B150" t="s">
        <v>0</v>
      </c>
      <c r="C150">
        <v>3372.3</v>
      </c>
      <c r="D150">
        <v>92.193000793457003</v>
      </c>
      <c r="E150">
        <v>30.52</v>
      </c>
      <c r="F150">
        <v>8.4600000000000009</v>
      </c>
    </row>
    <row r="151" spans="1:6" x14ac:dyDescent="0.3">
      <c r="A151" s="1">
        <v>45078</v>
      </c>
      <c r="B151" t="s">
        <v>0</v>
      </c>
      <c r="C151">
        <v>3530.65</v>
      </c>
      <c r="D151">
        <v>57.632774353027301</v>
      </c>
      <c r="E151">
        <v>34.03</v>
      </c>
      <c r="F151">
        <v>11.18</v>
      </c>
    </row>
    <row r="152" spans="1:6" x14ac:dyDescent="0.3">
      <c r="A152" s="1">
        <v>45108</v>
      </c>
      <c r="B152" t="s">
        <v>0</v>
      </c>
      <c r="C152">
        <v>3578.99</v>
      </c>
      <c r="D152">
        <v>114.723327636718</v>
      </c>
      <c r="E152">
        <v>29.6</v>
      </c>
      <c r="F152">
        <v>20.260000000000002</v>
      </c>
    </row>
    <row r="153" spans="1:6" x14ac:dyDescent="0.3">
      <c r="A153" s="1">
        <v>45139</v>
      </c>
      <c r="B153" t="s">
        <v>0</v>
      </c>
      <c r="C153">
        <v>3096.81</v>
      </c>
      <c r="D153">
        <v>100.366897583007</v>
      </c>
      <c r="E153">
        <v>28.43</v>
      </c>
      <c r="F153">
        <v>20.07</v>
      </c>
    </row>
    <row r="154" spans="1:6" x14ac:dyDescent="0.3">
      <c r="A154" s="1">
        <v>45170</v>
      </c>
      <c r="B154" t="s">
        <v>0</v>
      </c>
      <c r="C154">
        <v>3225.43</v>
      </c>
      <c r="D154">
        <v>257.94641113281199</v>
      </c>
      <c r="E154">
        <v>27.09</v>
      </c>
      <c r="F154">
        <v>17.71</v>
      </c>
    </row>
    <row r="155" spans="1:6" x14ac:dyDescent="0.3">
      <c r="A155" s="1">
        <v>45200</v>
      </c>
      <c r="B155" t="s">
        <v>0</v>
      </c>
      <c r="C155">
        <v>3094.58</v>
      </c>
      <c r="D155">
        <v>86.12451171875</v>
      </c>
      <c r="E155">
        <v>22.61</v>
      </c>
      <c r="F155">
        <v>12.07</v>
      </c>
    </row>
    <row r="156" spans="1:6" x14ac:dyDescent="0.3">
      <c r="A156" s="1">
        <v>45231</v>
      </c>
      <c r="B156" t="s">
        <v>0</v>
      </c>
      <c r="C156">
        <v>2768.19</v>
      </c>
      <c r="D156">
        <v>3.5943443775177002</v>
      </c>
      <c r="E156">
        <v>18.89</v>
      </c>
      <c r="F156">
        <v>8.09</v>
      </c>
    </row>
    <row r="157" spans="1:6" x14ac:dyDescent="0.3">
      <c r="A157" s="1">
        <v>45261</v>
      </c>
      <c r="B157" t="s">
        <v>0</v>
      </c>
      <c r="C157">
        <v>2869.79</v>
      </c>
      <c r="D157">
        <v>8.5825605392456001</v>
      </c>
      <c r="E157">
        <v>13.8</v>
      </c>
      <c r="F157">
        <v>4.92</v>
      </c>
    </row>
    <row r="158" spans="1:6" x14ac:dyDescent="0.3">
      <c r="A158" s="1">
        <v>45292</v>
      </c>
      <c r="B158" t="s">
        <v>0</v>
      </c>
      <c r="C158">
        <v>2652.29</v>
      </c>
      <c r="D158">
        <v>33.143581390380803</v>
      </c>
      <c r="E158">
        <v>11.62</v>
      </c>
      <c r="F158">
        <v>4.41</v>
      </c>
    </row>
    <row r="159" spans="1:6" x14ac:dyDescent="0.3">
      <c r="A159" s="1">
        <v>45323</v>
      </c>
      <c r="B159" t="s">
        <v>0</v>
      </c>
      <c r="C159">
        <v>2785.22</v>
      </c>
      <c r="D159">
        <v>8.1319522857665998</v>
      </c>
      <c r="E159">
        <v>17.239999999999998</v>
      </c>
      <c r="F159">
        <v>4.6500000000000004</v>
      </c>
    </row>
    <row r="160" spans="1:6" x14ac:dyDescent="0.3">
      <c r="A160" s="1">
        <v>45352</v>
      </c>
      <c r="B160" t="s">
        <v>0</v>
      </c>
      <c r="C160">
        <v>2780.66</v>
      </c>
      <c r="D160">
        <v>91.891716003417898</v>
      </c>
      <c r="E160">
        <v>22.5</v>
      </c>
      <c r="F160">
        <v>7.43</v>
      </c>
    </row>
    <row r="161" spans="1:6" x14ac:dyDescent="0.3">
      <c r="A161" s="1">
        <v>45383</v>
      </c>
      <c r="B161" t="s">
        <v>0</v>
      </c>
      <c r="C161">
        <v>2774.09</v>
      </c>
      <c r="D161">
        <v>22.620231628417901</v>
      </c>
      <c r="E161">
        <v>26.96</v>
      </c>
      <c r="F161">
        <v>7.97</v>
      </c>
    </row>
    <row r="162" spans="1:6" x14ac:dyDescent="0.3">
      <c r="A162" s="1">
        <v>45413</v>
      </c>
      <c r="B162" t="s">
        <v>0</v>
      </c>
      <c r="C162">
        <v>2659.85</v>
      </c>
      <c r="D162">
        <v>47.249805450439403</v>
      </c>
      <c r="E162">
        <v>30.52</v>
      </c>
      <c r="F162">
        <v>10.039999999999999</v>
      </c>
    </row>
    <row r="163" spans="1:6" x14ac:dyDescent="0.3">
      <c r="A163" s="1">
        <v>45444</v>
      </c>
      <c r="B163" t="s">
        <v>0</v>
      </c>
      <c r="C163">
        <v>2804.62</v>
      </c>
      <c r="D163">
        <v>89.695045471191406</v>
      </c>
      <c r="E163">
        <v>34.03</v>
      </c>
      <c r="F163">
        <v>15.73</v>
      </c>
    </row>
    <row r="164" spans="1:6" x14ac:dyDescent="0.3">
      <c r="A164" s="1">
        <v>45474</v>
      </c>
      <c r="B164" t="s">
        <v>0</v>
      </c>
      <c r="C164">
        <v>2452.5</v>
      </c>
      <c r="D164">
        <v>154.98382568359301</v>
      </c>
      <c r="E164">
        <v>29.6</v>
      </c>
      <c r="F164">
        <v>21.1</v>
      </c>
    </row>
    <row r="165" spans="1:6" x14ac:dyDescent="0.3">
      <c r="A165" s="1">
        <v>45505</v>
      </c>
      <c r="B165" t="s">
        <v>0</v>
      </c>
      <c r="C165">
        <v>2455.89</v>
      </c>
      <c r="D165">
        <v>112.002601623535</v>
      </c>
      <c r="E165">
        <v>28.43</v>
      </c>
      <c r="F165">
        <v>19.420000000000002</v>
      </c>
    </row>
    <row r="166" spans="1:6" x14ac:dyDescent="0.3">
      <c r="A166" s="1">
        <v>45536</v>
      </c>
      <c r="B166" t="s">
        <v>0</v>
      </c>
      <c r="C166">
        <v>2642.57</v>
      </c>
      <c r="D166">
        <v>180.16777038574199</v>
      </c>
      <c r="E166">
        <v>27.09</v>
      </c>
      <c r="F166">
        <v>16.37</v>
      </c>
    </row>
    <row r="167" spans="1:6" x14ac:dyDescent="0.3">
      <c r="A167" s="1">
        <v>45566</v>
      </c>
      <c r="B167" t="s">
        <v>0</v>
      </c>
      <c r="C167">
        <v>2755.61</v>
      </c>
      <c r="D167">
        <v>83.627113342285099</v>
      </c>
      <c r="E167">
        <v>22.61</v>
      </c>
      <c r="F167">
        <v>9.65</v>
      </c>
    </row>
    <row r="168" spans="1:6" x14ac:dyDescent="0.3">
      <c r="A168" s="1">
        <v>45597</v>
      </c>
      <c r="B168" t="s">
        <v>0</v>
      </c>
      <c r="C168">
        <v>2807.53</v>
      </c>
      <c r="D168">
        <v>10.044599533081</v>
      </c>
      <c r="E168">
        <v>18.89</v>
      </c>
      <c r="F168">
        <v>7.62</v>
      </c>
    </row>
    <row r="169" spans="1:6" x14ac:dyDescent="0.3">
      <c r="A169" s="1">
        <v>45627</v>
      </c>
      <c r="B169" t="s">
        <v>0</v>
      </c>
      <c r="C169">
        <v>2666.21</v>
      </c>
      <c r="D169">
        <v>6.8581204414367596</v>
      </c>
      <c r="E169">
        <v>13.8</v>
      </c>
      <c r="F169">
        <v>4.9800000000000004</v>
      </c>
    </row>
    <row r="170" spans="1:6" x14ac:dyDescent="0.3">
      <c r="A170" s="1">
        <v>45658</v>
      </c>
      <c r="B170" t="s">
        <v>0</v>
      </c>
      <c r="C170">
        <v>2769.95</v>
      </c>
      <c r="D170">
        <v>31.578983306884702</v>
      </c>
      <c r="E170">
        <v>11.6</v>
      </c>
      <c r="F170">
        <v>4.03</v>
      </c>
    </row>
    <row r="171" spans="1:6" x14ac:dyDescent="0.3">
      <c r="A171" s="1">
        <v>45689</v>
      </c>
      <c r="B171" t="s">
        <v>0</v>
      </c>
      <c r="C171">
        <v>2933.6</v>
      </c>
      <c r="D171">
        <v>61.237209320068303</v>
      </c>
      <c r="E171">
        <v>14.79</v>
      </c>
      <c r="F171">
        <v>4.5999999999999996</v>
      </c>
    </row>
    <row r="172" spans="1:6" x14ac:dyDescent="0.3">
      <c r="A172" s="1">
        <v>45717</v>
      </c>
      <c r="B172" t="s">
        <v>0</v>
      </c>
      <c r="C172">
        <v>3375.71</v>
      </c>
      <c r="D172">
        <v>50.666961669921797</v>
      </c>
      <c r="E172">
        <v>21.67</v>
      </c>
      <c r="F172">
        <v>5.6</v>
      </c>
    </row>
    <row r="173" spans="1:6" x14ac:dyDescent="0.3">
      <c r="A173" s="1">
        <v>45748</v>
      </c>
      <c r="B173" t="s">
        <v>0</v>
      </c>
      <c r="C173">
        <v>2933.6</v>
      </c>
      <c r="D173">
        <v>16.958009719848601</v>
      </c>
      <c r="E173">
        <v>29.45</v>
      </c>
      <c r="F173">
        <v>6.4</v>
      </c>
    </row>
    <row r="174" spans="1:6" x14ac:dyDescent="0.3">
      <c r="A174" s="1">
        <v>45778</v>
      </c>
      <c r="B174" t="s">
        <v>0</v>
      </c>
      <c r="C174">
        <v>2769.95</v>
      </c>
      <c r="D174">
        <v>16.801414489746001</v>
      </c>
      <c r="E174">
        <v>37.25</v>
      </c>
      <c r="F174">
        <v>6.6</v>
      </c>
    </row>
    <row r="175" spans="1:6" x14ac:dyDescent="0.3">
      <c r="A175" s="1">
        <v>45809</v>
      </c>
      <c r="B175" t="s">
        <v>0</v>
      </c>
      <c r="C175">
        <v>2666.21</v>
      </c>
      <c r="D175">
        <v>82.388633728027301</v>
      </c>
      <c r="E175">
        <v>39.409999999999997</v>
      </c>
      <c r="F175">
        <v>11.96</v>
      </c>
    </row>
    <row r="176" spans="1:6" x14ac:dyDescent="0.3">
      <c r="A176" s="1">
        <v>45839</v>
      </c>
      <c r="B176" t="s">
        <v>0</v>
      </c>
      <c r="C176">
        <v>2807.53</v>
      </c>
      <c r="D176">
        <v>140.39564514160099</v>
      </c>
      <c r="E176">
        <v>33.119999999999997</v>
      </c>
      <c r="F176">
        <v>20.84</v>
      </c>
    </row>
    <row r="177" spans="1:6" x14ac:dyDescent="0.3">
      <c r="A177" s="1">
        <v>45870</v>
      </c>
      <c r="B177" t="s">
        <v>0</v>
      </c>
      <c r="C177">
        <v>2755.61</v>
      </c>
      <c r="D177">
        <v>143.83195495605401</v>
      </c>
      <c r="E177">
        <v>28.71</v>
      </c>
      <c r="F177">
        <v>21.12</v>
      </c>
    </row>
    <row r="178" spans="1:6" x14ac:dyDescent="0.3">
      <c r="A178" s="1">
        <v>45901</v>
      </c>
      <c r="B178" t="s">
        <v>0</v>
      </c>
      <c r="C178">
        <v>2642.57</v>
      </c>
      <c r="D178">
        <v>140.22413635253901</v>
      </c>
      <c r="E178">
        <v>27.59</v>
      </c>
      <c r="F178">
        <v>19.45</v>
      </c>
    </row>
    <row r="179" spans="1:6" x14ac:dyDescent="0.3">
      <c r="A179" s="1">
        <v>45931</v>
      </c>
      <c r="B179" t="s">
        <v>0</v>
      </c>
      <c r="C179">
        <v>2455.89</v>
      </c>
      <c r="D179">
        <v>21.703800201416001</v>
      </c>
      <c r="E179">
        <v>23.93</v>
      </c>
      <c r="F179">
        <v>11.62</v>
      </c>
    </row>
    <row r="180" spans="1:6" x14ac:dyDescent="0.3">
      <c r="A180" s="1">
        <v>45962</v>
      </c>
      <c r="B180" t="s">
        <v>0</v>
      </c>
      <c r="C180">
        <v>2452.5</v>
      </c>
      <c r="D180">
        <v>0</v>
      </c>
      <c r="E180">
        <v>18.91</v>
      </c>
      <c r="F180">
        <v>7.12</v>
      </c>
    </row>
    <row r="181" spans="1:6" x14ac:dyDescent="0.3">
      <c r="A181" s="1">
        <v>45992</v>
      </c>
      <c r="B181" t="s">
        <v>0</v>
      </c>
      <c r="C181">
        <v>2275</v>
      </c>
      <c r="D181">
        <v>44.7114448547363</v>
      </c>
      <c r="E181">
        <v>12.66</v>
      </c>
      <c r="F181">
        <v>4.47</v>
      </c>
    </row>
    <row r="182" spans="1:6" x14ac:dyDescent="0.3">
      <c r="A182" s="1">
        <v>46023</v>
      </c>
      <c r="B182" t="s">
        <v>0</v>
      </c>
      <c r="C182">
        <v>2192</v>
      </c>
      <c r="D182">
        <v>4</v>
      </c>
      <c r="E182">
        <v>13</v>
      </c>
      <c r="F182">
        <v>5.0999999999999996</v>
      </c>
    </row>
    <row r="183" spans="1:6" x14ac:dyDescent="0.3">
      <c r="A183" s="1">
        <v>46054</v>
      </c>
      <c r="B183" t="s">
        <v>0</v>
      </c>
      <c r="C183">
        <v>2200</v>
      </c>
      <c r="D183">
        <v>0.4</v>
      </c>
      <c r="E183">
        <v>14</v>
      </c>
      <c r="F183">
        <v>5.03</v>
      </c>
    </row>
  </sheetData>
  <sortState xmlns:xlrd2="http://schemas.microsoft.com/office/spreadsheetml/2017/richdata2" ref="A2:A195">
    <sortCondition ref="A1:A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Rana</dc:creator>
  <cp:lastModifiedBy>Ritesh Rana</cp:lastModifiedBy>
  <dcterms:created xsi:type="dcterms:W3CDTF">2026-02-14T12:52:06Z</dcterms:created>
  <dcterms:modified xsi:type="dcterms:W3CDTF">2026-02-21T06:35:57Z</dcterms:modified>
</cp:coreProperties>
</file>